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gastos" sheetId="2" state="visible" r:id="rId2"/>
    <sheet xmlns:r="http://schemas.openxmlformats.org/officeDocument/2006/relationships" name="_ajustes_internos" sheetId="3" state="hidden" r:id="rId3"/>
  </sheets>
  <definedNames>
    <definedName name="_xlnm._FilterDatabase" localSheetId="1" hidden="1">'Detalle gastos'!$A$1:$F$10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0078D4"/>
      <sz val="14"/>
    </font>
    <font>
      <b val="1"/>
      <color rgb="00FFFFFF"/>
      <sz val="11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0078D4"/>
      </patternFill>
    </fill>
    <fill>
      <patternFill patternType="solid">
        <fgColor rgb="00F8F9F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Presupuesto Q2 2026 — Plataforma Digital</t>
        </is>
      </c>
    </row>
    <row r="3">
      <c r="A3" s="2" t="inlineStr">
        <is>
          <t>Concepto</t>
        </is>
      </c>
      <c r="B3" s="2" t="inlineStr">
        <is>
          <t>Asignado (USD)</t>
        </is>
      </c>
      <c r="C3" s="2" t="inlineStr">
        <is>
          <t>Gastado (USD)</t>
        </is>
      </c>
      <c r="D3" s="2" t="inlineStr">
        <is>
          <t>Disponible (USD)</t>
        </is>
      </c>
    </row>
    <row r="4">
      <c r="A4" s="3" t="inlineStr">
        <is>
          <t>Personal (headcount)</t>
        </is>
      </c>
      <c r="B4" s="4" t="n">
        <v>480000</v>
      </c>
      <c r="C4" s="4" t="n">
        <v>462000</v>
      </c>
      <c r="D4" s="4">
        <f>B4-C4</f>
        <v/>
      </c>
    </row>
    <row r="5">
      <c r="A5" s="5" t="inlineStr">
        <is>
          <t>Infraestructura cloud</t>
        </is>
      </c>
      <c r="B5" s="6" t="n">
        <v>95000</v>
      </c>
      <c r="C5" s="6" t="n">
        <v>118500</v>
      </c>
      <c r="D5" s="6">
        <f>B5-C5</f>
        <v/>
      </c>
    </row>
    <row r="6">
      <c r="A6" s="3" t="inlineStr">
        <is>
          <t>Licencias SaaS</t>
        </is>
      </c>
      <c r="B6" s="4" t="n">
        <v>60000</v>
      </c>
      <c r="C6" s="4" t="n">
        <v>41200</v>
      </c>
      <c r="D6" s="4">
        <f>B6-C6</f>
        <v/>
      </c>
    </row>
    <row r="7">
      <c r="A7" s="7" t="inlineStr">
        <is>
          <t>Capacitación</t>
        </is>
      </c>
      <c r="B7" s="8" t="n">
        <v>25000</v>
      </c>
      <c r="C7" s="8" t="n">
        <v>8500</v>
      </c>
      <c r="D7" s="8">
        <f>B7-C7</f>
        <v/>
      </c>
    </row>
    <row r="8">
      <c r="A8" s="3" t="inlineStr">
        <is>
          <t>Contingencia</t>
        </is>
      </c>
      <c r="B8" s="4" t="n">
        <v>20000</v>
      </c>
      <c r="C8" s="4" t="n">
        <v>0</v>
      </c>
      <c r="D8" s="4">
        <f>B8-C8</f>
        <v/>
      </c>
    </row>
    <row r="9">
      <c r="A9" s="9" t="inlineStr">
        <is>
          <t>TOTAL</t>
        </is>
      </c>
      <c r="B9" s="10">
        <f>SUM(B4:B8)</f>
        <v/>
      </c>
      <c r="C9" s="10">
        <f>SUM(C4:C8)</f>
        <v/>
      </c>
      <c r="D9" s="10" t="n">
        <v>58000</v>
      </c>
    </row>
    <row r="12">
      <c r="A12" s="11" t="inlineStr">
        <is>
          <t>Nota: revisar con CFO antes del 30-jun-2026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0" customWidth="1" min="4" max="4"/>
    <col width="14" customWidth="1" min="5" max="5"/>
    <col width="16" customWidth="1" min="6" max="6"/>
  </cols>
  <sheetData>
    <row r="1">
      <c r="A1" s="2" t="inlineStr">
        <is>
          <t>Fecha</t>
        </is>
      </c>
      <c r="B1" s="2" t="inlineStr">
        <is>
          <t>Categoría</t>
        </is>
      </c>
      <c r="C1" s="2" t="inlineStr">
        <is>
          <t>Proveedor</t>
        </is>
      </c>
      <c r="D1" s="2" t="inlineStr">
        <is>
          <t>Descripción</t>
        </is>
      </c>
      <c r="E1" s="2" t="inlineStr">
        <is>
          <t>Monto (USD)</t>
        </is>
      </c>
      <c r="F1" s="2" t="inlineStr">
        <is>
          <t>Aprobado por</t>
        </is>
      </c>
    </row>
    <row r="2">
      <c r="A2" s="3" t="inlineStr">
        <is>
          <t>2026-04-02</t>
        </is>
      </c>
      <c r="B2" s="3" t="inlineStr">
        <is>
          <t>Infraestructura cloud</t>
        </is>
      </c>
      <c r="C2" s="3" t="inlineStr">
        <is>
          <t>Azure</t>
        </is>
      </c>
      <c r="D2" s="3" t="inlineStr">
        <is>
          <t>Reserved instances DB</t>
        </is>
      </c>
      <c r="E2" s="4" t="n">
        <v>28500</v>
      </c>
      <c r="F2" s="3" t="inlineStr">
        <is>
          <t>L. Sandé</t>
        </is>
      </c>
    </row>
    <row r="3">
      <c r="A3" s="7" t="inlineStr">
        <is>
          <t>2026-04-15</t>
        </is>
      </c>
      <c r="B3" s="7" t="inlineStr">
        <is>
          <t>Personal</t>
        </is>
      </c>
      <c r="C3" s="7" t="inlineStr">
        <is>
          <t>Nómina abril</t>
        </is>
      </c>
      <c r="D3" s="7" t="inlineStr">
        <is>
          <t>Salarios 12 ing.</t>
        </is>
      </c>
      <c r="E3" s="8" t="n">
        <v>154000</v>
      </c>
      <c r="F3" s="7" t="inlineStr">
        <is>
          <t>RRHH</t>
        </is>
      </c>
    </row>
    <row r="4">
      <c r="A4" s="3" t="inlineStr">
        <is>
          <t>2026-04-22</t>
        </is>
      </c>
      <c r="B4" s="3" t="inlineStr">
        <is>
          <t>Licencias SaaS</t>
        </is>
      </c>
      <c r="C4" s="3" t="inlineStr">
        <is>
          <t>Datadog</t>
        </is>
      </c>
      <c r="D4" s="3" t="inlineStr">
        <is>
          <t>Renovación anual</t>
        </is>
      </c>
      <c r="E4" s="4" t="n">
        <v>18000</v>
      </c>
      <c r="F4" s="3" t="inlineStr">
        <is>
          <t>L. Sandé</t>
        </is>
      </c>
    </row>
    <row r="5">
      <c r="A5" s="7" t="inlineStr">
        <is>
          <t>2026-05-03</t>
        </is>
      </c>
      <c r="B5" s="7" t="inlineStr">
        <is>
          <t>Infraestructura cloud</t>
        </is>
      </c>
      <c r="C5" s="7" t="inlineStr">
        <is>
          <t>Azure</t>
        </is>
      </c>
      <c r="D5" s="7" t="inlineStr">
        <is>
          <t>Egress traffic overage</t>
        </is>
      </c>
      <c r="E5" s="8" t="n">
        <v>21000</v>
      </c>
      <c r="F5" s="7" t="inlineStr">
        <is>
          <t>L. Sandé</t>
        </is>
      </c>
    </row>
    <row r="6">
      <c r="A6" s="3" t="inlineStr">
        <is>
          <t>2026-05-10</t>
        </is>
      </c>
      <c r="B6" s="3" t="inlineStr">
        <is>
          <t>Capacitación</t>
        </is>
      </c>
      <c r="C6" s="3" t="inlineStr">
        <is>
          <t>Udemy Business</t>
        </is>
      </c>
      <c r="D6" s="3" t="inlineStr">
        <is>
          <t>Plan equipo</t>
        </is>
      </c>
      <c r="E6" s="4" t="n">
        <v>8500</v>
      </c>
      <c r="F6" s="3" t="inlineStr">
        <is>
          <t>L. Sandé</t>
        </is>
      </c>
    </row>
    <row r="7">
      <c r="A7" s="7" t="inlineStr">
        <is>
          <t>2026-05-18</t>
        </is>
      </c>
      <c r="B7" s="7" t="inlineStr">
        <is>
          <t>Personal</t>
        </is>
      </c>
      <c r="C7" s="7" t="inlineStr">
        <is>
          <t>Nómina mayo</t>
        </is>
      </c>
      <c r="D7" s="7" t="inlineStr">
        <is>
          <t>Salarios 12 ing.</t>
        </is>
      </c>
      <c r="E7" s="8" t="n">
        <v>154000</v>
      </c>
      <c r="F7" s="7" t="inlineStr">
        <is>
          <t>RRHH</t>
        </is>
      </c>
    </row>
    <row r="8">
      <c r="A8" s="3" t="inlineStr">
        <is>
          <t>2026-05-25</t>
        </is>
      </c>
      <c r="B8" s="3" t="inlineStr">
        <is>
          <t>Infraestructura cloud</t>
        </is>
      </c>
      <c r="C8" s="3" t="inlineStr">
        <is>
          <t>Azure</t>
        </is>
      </c>
      <c r="D8" s="3" t="inlineStr">
        <is>
          <t>OpenAI tokens premium</t>
        </is>
      </c>
      <c r="E8" s="4" t="n">
        <v>38000</v>
      </c>
      <c r="F8" s="3" t="inlineStr"/>
    </row>
    <row r="9">
      <c r="A9" s="7" t="inlineStr">
        <is>
          <t>2026-05-30</t>
        </is>
      </c>
      <c r="B9" s="7" t="inlineStr">
        <is>
          <t>Licencias SaaS</t>
        </is>
      </c>
      <c r="C9" s="7" t="inlineStr">
        <is>
          <t>GitHub Copilot</t>
        </is>
      </c>
      <c r="D9" s="7" t="inlineStr">
        <is>
          <t>Renovación 25 asientos</t>
        </is>
      </c>
      <c r="E9" s="8" t="n">
        <v>23200</v>
      </c>
      <c r="F9" s="7" t="inlineStr">
        <is>
          <t>L. Sandé</t>
        </is>
      </c>
    </row>
    <row r="10">
      <c r="A10" s="3" t="inlineStr">
        <is>
          <t>2026-06-01</t>
        </is>
      </c>
      <c r="B10" s="3" t="inlineStr">
        <is>
          <t>Personal</t>
        </is>
      </c>
      <c r="C10" s="3" t="inlineStr">
        <is>
          <t>Nómina junio (parcial)</t>
        </is>
      </c>
      <c r="D10" s="3" t="inlineStr">
        <is>
          <t>Salarios 12 ing.</t>
        </is>
      </c>
      <c r="E10" s="4" t="n">
        <v>154000</v>
      </c>
      <c r="F10" s="3" t="inlineStr">
        <is>
          <t>RRHH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Ajustes contables Q1 (no compartir)</t>
        </is>
      </c>
    </row>
    <row r="2">
      <c r="A2" t="inlineStr">
        <is>
          <t>Reclasificación gasto OpenAI -&gt; opex extraordinario</t>
        </is>
      </c>
    </row>
    <row r="3">
      <c r="A3" t="inlineStr">
        <is>
          <t>Monto: $12,500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2026-06-01T14:18:36Z</dcterms:created>
  <dcterms:modified xmlns:dcterms="http://purl.org/dc/terms/" xmlns:xsi="http://www.w3.org/2001/XMLSchema-instance" xsi:type="dcterms:W3CDTF">2026-06-01T14:18:36Z</dcterms:modified>
</cp:coreProperties>
</file>